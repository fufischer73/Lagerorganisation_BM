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6" customWidth="1" min="2" max="2"/>
    <col width="48" customWidth="1" min="4" max="4"/>
    <col width="40" customWidth="1" min="7" max="7"/>
  </cols>
  <sheetData>
    <row r="1">
      <c r="A1" s="1" t="inlineStr">
        <is>
          <t>Bürostuhl ErgoMax – Lagerdaten</t>
        </is>
      </c>
    </row>
    <row r="3">
      <c r="A3" s="2" t="inlineStr">
        <is>
          <t>Zeitpunkt</t>
        </is>
      </c>
      <c r="B3" s="2" t="inlineStr">
        <is>
          <t>Bestand (Stück)</t>
        </is>
      </c>
      <c r="D3" s="3" t="inlineStr">
        <is>
          <t>Weitere Angaben</t>
        </is>
      </c>
      <c r="G3" t="inlineStr">
        <is>
          <t>Kennzahl</t>
        </is>
      </c>
      <c r="H3" t="inlineStr">
        <is>
          <t>Aktuell</t>
        </is>
      </c>
      <c r="I3" t="inlineStr">
        <is>
          <t>Vorjahr</t>
        </is>
      </c>
    </row>
    <row r="4">
      <c r="A4" t="inlineStr">
        <is>
          <t>Jahresanfangsbestand</t>
        </is>
      </c>
      <c r="B4" t="n">
        <v>90</v>
      </c>
      <c r="D4" t="inlineStr">
        <is>
          <t>Jahresverbrauch aktuelles Jahr (Stück)</t>
        </is>
      </c>
      <c r="E4" t="n">
        <v>1020</v>
      </c>
      <c r="G4" t="inlineStr">
        <is>
          <t>Durchschnittlicher Lagerbestand (Stück)</t>
        </is>
      </c>
      <c r="H4">
        <f>AVERAGE(B4:B16)</f>
        <v/>
      </c>
      <c r="I4">
        <f>E7</f>
        <v/>
      </c>
    </row>
    <row r="5">
      <c r="A5" t="inlineStr">
        <is>
          <t>Januar</t>
        </is>
      </c>
      <c r="B5" t="n">
        <v>95</v>
      </c>
      <c r="D5" t="inlineStr">
        <is>
          <t>Einstandspreis je Stück (€)</t>
        </is>
      </c>
      <c r="E5" t="n">
        <v>142</v>
      </c>
      <c r="G5" t="inlineStr">
        <is>
          <t>Umschlagshäufigkeit</t>
        </is>
      </c>
      <c r="H5">
        <f>E4/H4</f>
        <v/>
      </c>
      <c r="I5">
        <f>E8/I4</f>
        <v/>
      </c>
    </row>
    <row r="6">
      <c r="A6" t="inlineStr">
        <is>
          <t>Februar</t>
        </is>
      </c>
      <c r="B6" t="n">
        <v>80</v>
      </c>
      <c r="D6" t="inlineStr">
        <is>
          <t>Jahreszinssatz (%)</t>
        </is>
      </c>
      <c r="E6" t="n">
        <v>3</v>
      </c>
      <c r="G6" t="inlineStr">
        <is>
          <t>Durchschnittliche Lagerdauer (Tage)</t>
        </is>
      </c>
      <c r="H6">
        <f>360/H5</f>
        <v/>
      </c>
      <c r="I6">
        <f>360/I5</f>
        <v/>
      </c>
    </row>
    <row r="7">
      <c r="A7" t="inlineStr">
        <is>
          <t>März</t>
        </is>
      </c>
      <c r="B7" t="n">
        <v>70</v>
      </c>
      <c r="D7" t="inlineStr">
        <is>
          <t>Vorjahr: durchschnittlicher Lagerbestand (Stück)</t>
        </is>
      </c>
      <c r="E7" t="n">
        <v>105</v>
      </c>
      <c r="G7" t="inlineStr">
        <is>
          <t>Lagerzinssatz (%)</t>
        </is>
      </c>
      <c r="H7">
        <f>E6/H5</f>
        <v/>
      </c>
      <c r="I7">
        <f>E6/I5</f>
        <v/>
      </c>
    </row>
    <row r="8">
      <c r="A8" t="inlineStr">
        <is>
          <t>April</t>
        </is>
      </c>
      <c r="B8" t="n">
        <v>60</v>
      </c>
      <c r="D8" t="inlineStr">
        <is>
          <t>Vorjahr: Jahresverbrauch (Stück)</t>
        </is>
      </c>
      <c r="E8" t="n">
        <v>960</v>
      </c>
      <c r="G8" t="inlineStr">
        <is>
          <t>DLB-Wert (€)</t>
        </is>
      </c>
      <c r="H8">
        <f>H4*E5</f>
        <v/>
      </c>
      <c r="I8">
        <f>I4*E5</f>
        <v/>
      </c>
    </row>
    <row r="9">
      <c r="A9" t="inlineStr">
        <is>
          <t>Mai</t>
        </is>
      </c>
      <c r="B9" t="n">
        <v>75</v>
      </c>
      <c r="G9" t="inlineStr">
        <is>
          <t>Lagerzinsen (€)</t>
        </is>
      </c>
      <c r="H9">
        <f>H7*H8/100</f>
        <v/>
      </c>
      <c r="I9">
        <f>I7*I8/100</f>
        <v/>
      </c>
    </row>
    <row r="10">
      <c r="A10" t="inlineStr">
        <is>
          <t>Juni</t>
        </is>
      </c>
      <c r="B10" t="n">
        <v>90</v>
      </c>
    </row>
    <row r="11">
      <c r="A11" t="inlineStr">
        <is>
          <t>Juli</t>
        </is>
      </c>
      <c r="B11" t="n">
        <v>85</v>
      </c>
    </row>
    <row r="12">
      <c r="A12" t="inlineStr">
        <is>
          <t>August</t>
        </is>
      </c>
      <c r="B12" t="n">
        <v>100</v>
      </c>
    </row>
    <row r="13">
      <c r="A13" t="inlineStr">
        <is>
          <t>September</t>
        </is>
      </c>
      <c r="B13" t="n">
        <v>110</v>
      </c>
    </row>
    <row r="14">
      <c r="A14" t="inlineStr">
        <is>
          <t>Oktober</t>
        </is>
      </c>
      <c r="B14" t="n">
        <v>70</v>
      </c>
    </row>
    <row r="15">
      <c r="A15" t="inlineStr">
        <is>
          <t>November</t>
        </is>
      </c>
      <c r="B15" t="n">
        <v>65</v>
      </c>
    </row>
    <row r="16">
      <c r="A16" t="inlineStr">
        <is>
          <t>Dezember</t>
        </is>
      </c>
      <c r="B16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2026-10-26T17:17:12Z</dcterms:created>
  <dcterms:modified xmlns:dcterms="http://purl.org/dc/terms/" xmlns:xsi="http://www.w3.org/2001/XMLSchema-instance" xsi:type="dcterms:W3CDTF">2026-10-26T17:17:12Z</dcterms:modified>
</cp:coreProperties>
</file>